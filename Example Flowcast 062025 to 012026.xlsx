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Sheet1!$A$17:$N$30</definedName>
  </definedNames>
  <calcPr/>
</workbook>
</file>

<file path=xl/sharedStrings.xml><?xml version="1.0" encoding="utf-8"?>
<sst xmlns="http://schemas.openxmlformats.org/spreadsheetml/2006/main" count="31" uniqueCount="31">
  <si>
    <t>Profit and Loss</t>
  </si>
  <si>
    <t>Your Books and Balances</t>
  </si>
  <si>
    <t>For the year ended 30 June 2026</t>
  </si>
  <si>
    <t>Account</t>
  </si>
  <si>
    <t>Sept 2025</t>
  </si>
  <si>
    <t>Year to date</t>
  </si>
  <si>
    <t>Turnover</t>
  </si>
  <si>
    <t>Sales</t>
  </si>
  <si>
    <t>Total Turnover</t>
  </si>
  <si>
    <t>Cost of Sales</t>
  </si>
  <si>
    <t>Direct Expenses</t>
  </si>
  <si>
    <t>Total Cost of Sales</t>
  </si>
  <si>
    <t>Gross Profit</t>
  </si>
  <si>
    <t>Administrative Costs</t>
  </si>
  <si>
    <t>x</t>
  </si>
  <si>
    <t>Salaries</t>
  </si>
  <si>
    <t>Subscriptions</t>
  </si>
  <si>
    <t>General Expenses</t>
  </si>
  <si>
    <t>Depreciation Expense</t>
  </si>
  <si>
    <t>Interest Paid</t>
  </si>
  <si>
    <t>Bank Fees</t>
  </si>
  <si>
    <t>Pensions Costs</t>
  </si>
  <si>
    <t>IT Software and Consumables</t>
  </si>
  <si>
    <t>Telephone &amp; Internet</t>
  </si>
  <si>
    <t>Stripe Fees</t>
  </si>
  <si>
    <t>Total Administrative Costs</t>
  </si>
  <si>
    <t>Operating Profit</t>
  </si>
  <si>
    <t>Profit on Ordinary Activities Before Taxation</t>
  </si>
  <si>
    <t>Profit after Taxation</t>
  </si>
  <si>
    <t>Gross profit (c)</t>
  </si>
  <si>
    <t>Admin costs (c)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</si>
</sst>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BEBEB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165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left"/>
    </xf>
    <xf borderId="0" fillId="0" fontId="1" numFmtId="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2" fillId="2" fontId="1" numFmtId="0" xfId="0" applyAlignment="1" applyBorder="1" applyFill="1" applyFont="1">
      <alignment horizontal="left" readingOrder="0"/>
    </xf>
    <xf borderId="3" fillId="2" fontId="1" numFmtId="4" xfId="0" applyAlignment="1" applyBorder="1" applyFont="1" applyNumberFormat="1">
      <alignment horizontal="right" readingOrder="0"/>
    </xf>
    <xf borderId="3" fillId="2" fontId="1" numFmtId="0" xfId="0" applyAlignment="1" applyBorder="1" applyFont="1">
      <alignment horizontal="right" readingOrder="0"/>
    </xf>
    <xf borderId="4" fillId="2" fontId="1" numFmtId="0" xfId="0" applyAlignment="1" applyBorder="1" applyFont="1">
      <alignment horizontal="right" readingOrder="0"/>
    </xf>
    <xf borderId="3" fillId="3" fontId="1" numFmtId="0" xfId="0" applyAlignment="1" applyBorder="1" applyFill="1" applyFont="1">
      <alignment horizontal="left" readingOrder="0"/>
    </xf>
    <xf borderId="3" fillId="3" fontId="1" numFmtId="4" xfId="0" applyAlignment="1" applyBorder="1" applyFont="1" applyNumberFormat="1">
      <alignment horizontal="right" readingOrder="0"/>
    </xf>
    <xf borderId="3" fillId="3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horizontal="left" readingOrder="0"/>
    </xf>
    <xf borderId="5" fillId="0" fontId="1" numFmtId="4" xfId="0" applyAlignment="1" applyBorder="1" applyFont="1" applyNumberFormat="1">
      <alignment horizontal="right" readingOrder="0"/>
    </xf>
    <xf borderId="5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horizontal="right" readingOrder="0"/>
    </xf>
    <xf borderId="0" fillId="2" fontId="1" numFmtId="0" xfId="0" applyAlignment="1" applyFont="1">
      <alignment horizontal="left" readingOrder="0"/>
    </xf>
    <xf borderId="0" fillId="2" fontId="1" numFmtId="4" xfId="0" applyAlignment="1" applyFont="1" applyNumberFormat="1">
      <alignment horizontal="right" readingOrder="0"/>
    </xf>
    <xf borderId="0" fillId="2" fontId="1" numFmtId="0" xfId="0" applyAlignment="1" applyFont="1">
      <alignment horizontal="right" readingOrder="0"/>
    </xf>
    <xf borderId="0" fillId="4" fontId="2" numFmtId="0" xfId="0" applyAlignment="1" applyFill="1" applyFont="1">
      <alignment readingOrder="0"/>
    </xf>
    <xf borderId="0" fillId="4" fontId="2" numFmtId="4" xfId="0" applyFont="1" applyNumberFormat="1"/>
    <xf borderId="0" fillId="4" fontId="2" numFmtId="0" xfId="0" applyFont="1"/>
    <xf borderId="0" fillId="4" fontId="2" numFmtId="0" xfId="0" applyAlignment="1" applyFont="1">
      <alignment horizontal="left" readingOrder="0"/>
    </xf>
    <xf borderId="0" fillId="4" fontId="2" numFmtId="4" xfId="0" applyAlignment="1" applyFont="1" applyNumberFormat="1">
      <alignment horizontal="right" readingOrder="0"/>
    </xf>
    <xf borderId="0" fillId="4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Courier New"/>
              </a:defRPr>
            </a:pPr>
            <a:r>
              <a:rPr b="1" sz="2000">
                <a:solidFill>
                  <a:srgbClr val="000000"/>
                </a:solidFill>
                <a:latin typeface="Courier New"/>
              </a:rPr>
              <a:t>Operating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Sheet1!$A$31</c:f>
            </c:strRef>
          </c:tx>
          <c:spPr>
            <a:solidFill>
              <a:srgbClr val="93C47D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cat>
            <c:strRef>
              <c:f>Sheet1!$B$5:$M$5</c:f>
            </c:strRef>
          </c:cat>
          <c:val>
            <c:numRef>
              <c:f>Sheet1!$B$31:$M$31</c:f>
              <c:numCache/>
            </c:numRef>
          </c:val>
        </c:ser>
        <c:ser>
          <c:idx val="1"/>
          <c:order val="1"/>
          <c:tx>
            <c:strRef>
              <c:f>Sheet1!$A$30</c:f>
            </c:strRef>
          </c:tx>
          <c:spPr>
            <a:solidFill>
              <a:srgbClr val="EA9999"/>
            </a:solidFill>
            <a:ln cmpd="sng">
              <a:solidFill>
                <a:srgbClr val="000000">
                  <a:alpha val="100000"/>
                </a:srgbClr>
              </a:solidFill>
              <a:prstDash val="sysDot"/>
            </a:ln>
          </c:spPr>
          <c:cat>
            <c:strRef>
              <c:f>Sheet1!$B$5:$M$5</c:f>
            </c:strRef>
          </c:cat>
          <c:val>
            <c:numRef>
              <c:f>Sheet1!$B$30:$M$30</c:f>
              <c:numCache/>
            </c:numRef>
          </c:val>
        </c:ser>
        <c:ser>
          <c:idx val="2"/>
          <c:order val="2"/>
          <c:tx>
            <c:strRef>
              <c:f>Sheet1!$A$15</c:f>
            </c:strRef>
          </c:tx>
          <c:spPr>
            <a:solidFill>
              <a:srgbClr val="B6D7A8"/>
            </a:solidFill>
            <a:ln cmpd="sng">
              <a:solidFill>
                <a:srgbClr val="000000">
                  <a:alpha val="100000"/>
                </a:srgbClr>
              </a:solidFill>
              <a:prstDash val="sysDot"/>
            </a:ln>
          </c:spPr>
          <c:cat>
            <c:strRef>
              <c:f>Sheet1!$B$5:$M$5</c:f>
            </c:strRef>
          </c:cat>
          <c:val>
            <c:numRef>
              <c:f>Sheet1!$B$15:$M$15</c:f>
              <c:numCache/>
            </c:numRef>
          </c:val>
        </c:ser>
        <c:axId val="1770585884"/>
        <c:axId val="757598808"/>
      </c:barChart>
      <c:catAx>
        <c:axId val="1770585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urier New"/>
                  </a:defRPr>
                </a:pPr>
                <a:r>
                  <a:rPr b="0">
                    <a:solidFill>
                      <a:srgbClr val="000000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757598808"/>
      </c:catAx>
      <c:valAx>
        <c:axId val="757598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urier New"/>
                  </a:defRPr>
                </a:pPr>
                <a:r>
                  <a:rPr b="0">
                    <a:solidFill>
                      <a:srgbClr val="000000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1770585884"/>
      </c:valAx>
    </c:plotArea>
    <c:legend>
      <c:legendPos val="r"/>
      <c:layout>
        <c:manualLayout>
          <c:xMode val="edge"/>
          <c:yMode val="edge"/>
          <c:x val="0.04108911457628312"/>
          <c:y val="0.1647286821705426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urier New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Sheet1!$A$37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trendline>
            <c:name>Trendline for Gross profit (c)</c:name>
            <c:spPr>
              <a:ln w="19050">
                <a:solidFill>
                  <a:srgbClr val="B6D7A8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Sheet1!$B$5:$Z$5</c:f>
            </c:strRef>
          </c:cat>
          <c:val>
            <c:numRef>
              <c:f>Sheet1!$B$37:$G$37</c:f>
              <c:numCache/>
            </c:numRef>
          </c:val>
          <c:smooth val="0"/>
        </c:ser>
        <c:ser>
          <c:idx val="1"/>
          <c:order val="1"/>
          <c:tx>
            <c:strRef>
              <c:f>Sheet1!$A$38</c:f>
            </c:strRef>
          </c:tx>
          <c:spPr>
            <a:ln cmpd="sng" w="9525">
              <a:solidFill>
                <a:srgbClr val="CC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0000">
                  <a:alpha val="100000"/>
                </a:srgbClr>
              </a:solidFill>
              <a:ln cmpd="sng">
                <a:solidFill>
                  <a:srgbClr val="CC0000">
                    <a:alpha val="100000"/>
                  </a:srgbClr>
                </a:solidFill>
              </a:ln>
            </c:spPr>
          </c:marker>
          <c:trendline>
            <c:name>Trendline for Admin costs (c)</c:name>
            <c:spPr>
              <a:ln w="9525">
                <a:solidFill>
                  <a:srgbClr val="DD7E6B"/>
                </a:solidFill>
              </a:ln>
            </c:spPr>
            <c:trendlineType val="linear"/>
            <c:dispRSqr val="0"/>
            <c:dispEq val="0"/>
          </c:trendline>
          <c:cat>
            <c:strRef>
              <c:f>Sheet1!$B$5:$Z$5</c:f>
            </c:strRef>
          </c:cat>
          <c:val>
            <c:numRef>
              <c:f>Sheet1!$B$38:$G$38</c:f>
              <c:numCache/>
            </c:numRef>
          </c:val>
          <c:smooth val="0"/>
        </c:ser>
        <c:axId val="163863874"/>
        <c:axId val="529253804"/>
      </c:lineChart>
      <c:catAx>
        <c:axId val="163863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urier New"/>
                  </a:defRPr>
                </a:pPr>
                <a:r>
                  <a:rPr b="0">
                    <a:solidFill>
                      <a:srgbClr val="000000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529253804"/>
      </c:catAx>
      <c:valAx>
        <c:axId val="529253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urier New"/>
                  </a:defRPr>
                </a:pPr>
                <a:r>
                  <a:rPr b="0">
                    <a:solidFill>
                      <a:srgbClr val="000000"/>
                    </a:solidFill>
                    <a:latin typeface="Courier Ne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163863874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Courier New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38</xdr:row>
      <xdr:rowOff>152400</xdr:rowOff>
    </xdr:from>
    <xdr:ext cx="55245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57</xdr:row>
      <xdr:rowOff>142875</xdr:rowOff>
    </xdr:from>
    <xdr:ext cx="5715000" cy="3533775"/>
    <xdr:pic>
      <xdr:nvPicPr>
        <xdr:cNvPr id="182226800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57</xdr:row>
      <xdr:rowOff>152400</xdr:rowOff>
    </xdr:from>
    <xdr:ext cx="5715000" cy="3533775"/>
    <xdr:pic>
      <xdr:nvPicPr>
        <xdr:cNvPr id="38162872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39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>
      <c r="A5" s="3" t="s">
        <v>3</v>
      </c>
      <c r="B5" s="4">
        <v>45839.0</v>
      </c>
      <c r="C5" s="4">
        <v>45870.0</v>
      </c>
      <c r="D5" s="5" t="s">
        <v>4</v>
      </c>
      <c r="E5" s="4">
        <v>45931.0</v>
      </c>
      <c r="F5" s="4">
        <v>45962.0</v>
      </c>
      <c r="G5" s="4">
        <v>45992.0</v>
      </c>
      <c r="H5" s="4">
        <v>46023.0</v>
      </c>
      <c r="I5" s="4"/>
      <c r="J5" s="4"/>
      <c r="K5" s="4"/>
      <c r="L5" s="6"/>
      <c r="M5" s="4"/>
      <c r="N5" s="5" t="s">
        <v>5</v>
      </c>
    </row>
    <row r="7">
      <c r="A7" s="3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>
      <c r="A8" s="1" t="s">
        <v>7</v>
      </c>
      <c r="B8" s="8">
        <v>1934.38</v>
      </c>
      <c r="C8" s="8">
        <v>2662.1</v>
      </c>
      <c r="D8" s="8">
        <v>2871.15</v>
      </c>
      <c r="E8" s="8">
        <v>3297.1</v>
      </c>
      <c r="F8" s="8">
        <v>3451.75</v>
      </c>
      <c r="G8" s="8">
        <v>3081.04</v>
      </c>
      <c r="H8" s="9">
        <v>180.0</v>
      </c>
      <c r="I8" s="9">
        <v>0.0</v>
      </c>
      <c r="J8" s="9">
        <v>0.0</v>
      </c>
      <c r="K8" s="9">
        <v>0.0</v>
      </c>
      <c r="L8" s="9">
        <v>0.0</v>
      </c>
      <c r="M8" s="9">
        <v>0.0</v>
      </c>
      <c r="N8" s="8">
        <v>17477.52</v>
      </c>
    </row>
    <row r="9">
      <c r="A9" s="10" t="s">
        <v>8</v>
      </c>
      <c r="B9" s="11">
        <f t="shared" ref="B9:H9" si="1">B8</f>
        <v>1934.38</v>
      </c>
      <c r="C9" s="11">
        <f t="shared" si="1"/>
        <v>2662.1</v>
      </c>
      <c r="D9" s="11">
        <f t="shared" si="1"/>
        <v>2871.15</v>
      </c>
      <c r="E9" s="11">
        <f t="shared" si="1"/>
        <v>3297.1</v>
      </c>
      <c r="F9" s="11">
        <f t="shared" si="1"/>
        <v>3451.75</v>
      </c>
      <c r="G9" s="11">
        <f t="shared" si="1"/>
        <v>3081.04</v>
      </c>
      <c r="H9" s="12">
        <f t="shared" si="1"/>
        <v>180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3">
        <v>0.0</v>
      </c>
    </row>
    <row r="11">
      <c r="A11" s="3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>
      <c r="A12" s="1" t="s">
        <v>10</v>
      </c>
      <c r="B12" s="9">
        <v>0.0</v>
      </c>
      <c r="C12" s="9">
        <v>0.0</v>
      </c>
      <c r="D12" s="9">
        <v>18.99</v>
      </c>
      <c r="E12" s="9">
        <v>34.0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52.99</v>
      </c>
    </row>
    <row r="13">
      <c r="A13" s="10" t="s">
        <v>11</v>
      </c>
      <c r="B13" s="12">
        <f t="shared" ref="B13:N13" si="2">B12</f>
        <v>0</v>
      </c>
      <c r="C13" s="12">
        <f t="shared" si="2"/>
        <v>0</v>
      </c>
      <c r="D13" s="12">
        <f t="shared" si="2"/>
        <v>18.99</v>
      </c>
      <c r="E13" s="12">
        <f t="shared" si="2"/>
        <v>34</v>
      </c>
      <c r="F13" s="12">
        <f t="shared" si="2"/>
        <v>0</v>
      </c>
      <c r="G13" s="12">
        <f t="shared" si="2"/>
        <v>0</v>
      </c>
      <c r="H13" s="12">
        <f t="shared" si="2"/>
        <v>0</v>
      </c>
      <c r="I13" s="12">
        <f t="shared" si="2"/>
        <v>0</v>
      </c>
      <c r="J13" s="12">
        <f t="shared" si="2"/>
        <v>0</v>
      </c>
      <c r="K13" s="12">
        <f t="shared" si="2"/>
        <v>0</v>
      </c>
      <c r="L13" s="12">
        <f t="shared" si="2"/>
        <v>0</v>
      </c>
      <c r="M13" s="12">
        <f t="shared" si="2"/>
        <v>0</v>
      </c>
      <c r="N13" s="13">
        <f t="shared" si="2"/>
        <v>52.99</v>
      </c>
    </row>
    <row r="15">
      <c r="A15" s="14" t="s">
        <v>12</v>
      </c>
      <c r="B15" s="15">
        <f t="shared" ref="B15:H15" si="3">B9-B13</f>
        <v>1934.38</v>
      </c>
      <c r="C15" s="15">
        <f t="shared" si="3"/>
        <v>2662.1</v>
      </c>
      <c r="D15" s="15">
        <f t="shared" si="3"/>
        <v>2852.16</v>
      </c>
      <c r="E15" s="15">
        <f t="shared" si="3"/>
        <v>3263.1</v>
      </c>
      <c r="F15" s="15">
        <f t="shared" si="3"/>
        <v>3451.75</v>
      </c>
      <c r="G15" s="15">
        <f t="shared" si="3"/>
        <v>3081.04</v>
      </c>
      <c r="H15" s="16">
        <f t="shared" si="3"/>
        <v>180</v>
      </c>
      <c r="I15" s="16"/>
      <c r="J15" s="16"/>
      <c r="K15" s="16"/>
      <c r="L15" s="16"/>
      <c r="M15" s="16"/>
      <c r="N15" s="16"/>
    </row>
    <row r="17">
      <c r="A17" s="3" t="s">
        <v>13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3" t="s">
        <v>14</v>
      </c>
    </row>
    <row r="18">
      <c r="A18" s="17" t="s">
        <v>15</v>
      </c>
      <c r="B18" s="18">
        <v>3147.4</v>
      </c>
      <c r="C18" s="18">
        <v>3507.53</v>
      </c>
      <c r="D18" s="18">
        <v>2907.81</v>
      </c>
      <c r="E18" s="18">
        <v>3413.33</v>
      </c>
      <c r="F18" s="18">
        <v>2625.88</v>
      </c>
      <c r="G18" s="18">
        <v>2460.53</v>
      </c>
      <c r="H18" s="19">
        <v>872.05</v>
      </c>
      <c r="I18" s="19">
        <v>0.0</v>
      </c>
      <c r="J18" s="19">
        <v>0.0</v>
      </c>
      <c r="K18" s="19">
        <v>0.0</v>
      </c>
      <c r="L18" s="19">
        <v>0.0</v>
      </c>
      <c r="M18" s="19">
        <v>0.0</v>
      </c>
      <c r="N18" s="18">
        <v>18934.53</v>
      </c>
    </row>
    <row r="19">
      <c r="A19" s="17" t="s">
        <v>16</v>
      </c>
      <c r="B19" s="19">
        <v>231.72</v>
      </c>
      <c r="C19" s="19">
        <v>204.12</v>
      </c>
      <c r="D19" s="19">
        <v>109.5</v>
      </c>
      <c r="E19" s="19">
        <v>109.5</v>
      </c>
      <c r="F19" s="19">
        <v>264.12</v>
      </c>
      <c r="G19" s="19">
        <v>117.9</v>
      </c>
      <c r="H19" s="19">
        <v>94.98</v>
      </c>
      <c r="I19" s="19">
        <v>0.0</v>
      </c>
      <c r="J19" s="19">
        <v>0.0</v>
      </c>
      <c r="K19" s="19">
        <v>0.0</v>
      </c>
      <c r="L19" s="19">
        <v>0.0</v>
      </c>
      <c r="M19" s="19">
        <v>0.0</v>
      </c>
      <c r="N19" s="18">
        <v>1131.84</v>
      </c>
    </row>
    <row r="20">
      <c r="A20" s="17" t="s">
        <v>17</v>
      </c>
      <c r="B20" s="19">
        <v>-86.0</v>
      </c>
      <c r="C20" s="19">
        <v>80.0</v>
      </c>
      <c r="D20" s="19">
        <v>77.99</v>
      </c>
      <c r="E20" s="19">
        <v>127.0</v>
      </c>
      <c r="F20" s="19">
        <v>64.0</v>
      </c>
      <c r="G20" s="19">
        <v>207.51</v>
      </c>
      <c r="H20" s="19">
        <v>32.0</v>
      </c>
      <c r="I20" s="19">
        <v>0.0</v>
      </c>
      <c r="J20" s="19">
        <v>0.0</v>
      </c>
      <c r="K20" s="19">
        <v>0.0</v>
      </c>
      <c r="L20" s="19">
        <v>0.0</v>
      </c>
      <c r="M20" s="19">
        <v>0.0</v>
      </c>
      <c r="N20" s="19">
        <v>502.5</v>
      </c>
    </row>
    <row r="21">
      <c r="A21" s="17" t="s">
        <v>18</v>
      </c>
      <c r="B21" s="19">
        <v>0.0</v>
      </c>
      <c r="C21" s="19">
        <v>100.0</v>
      </c>
      <c r="D21" s="19">
        <v>100.0</v>
      </c>
      <c r="E21" s="19">
        <v>100.0</v>
      </c>
      <c r="F21" s="19">
        <v>100.0</v>
      </c>
      <c r="G21" s="19">
        <v>100.0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19">
        <v>500.0</v>
      </c>
    </row>
    <row r="22">
      <c r="A22" s="17" t="s">
        <v>19</v>
      </c>
      <c r="B22" s="19">
        <v>0.0</v>
      </c>
      <c r="C22" s="19">
        <v>0.0</v>
      </c>
      <c r="D22" s="19">
        <v>100.0</v>
      </c>
      <c r="E22" s="19">
        <v>80.42</v>
      </c>
      <c r="F22" s="19">
        <v>77.37</v>
      </c>
      <c r="G22" s="19">
        <v>84.37</v>
      </c>
      <c r="H22" s="19">
        <v>80.42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422.58</v>
      </c>
    </row>
    <row r="23">
      <c r="A23" s="17" t="s">
        <v>20</v>
      </c>
      <c r="B23" s="19">
        <v>205.24</v>
      </c>
      <c r="C23" s="19">
        <v>115.03</v>
      </c>
      <c r="D23" s="19">
        <v>40.5</v>
      </c>
      <c r="E23" s="19">
        <v>8.53</v>
      </c>
      <c r="F23" s="19">
        <v>28.5</v>
      </c>
      <c r="G23" s="19">
        <v>10.5</v>
      </c>
      <c r="H23" s="19">
        <v>8.5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416.8</v>
      </c>
    </row>
    <row r="24">
      <c r="A24" s="17" t="s">
        <v>21</v>
      </c>
      <c r="B24" s="19">
        <v>42.52</v>
      </c>
      <c r="C24" s="19">
        <v>50.8</v>
      </c>
      <c r="D24" s="19">
        <v>42.84</v>
      </c>
      <c r="E24" s="19">
        <v>50.8</v>
      </c>
      <c r="F24" s="19">
        <v>34.41</v>
      </c>
      <c r="G24" s="19">
        <v>29.45</v>
      </c>
      <c r="H24" s="19">
        <v>11.78</v>
      </c>
      <c r="I24" s="19">
        <v>0.0</v>
      </c>
      <c r="J24" s="19">
        <v>0.0</v>
      </c>
      <c r="K24" s="19">
        <v>0.0</v>
      </c>
      <c r="L24" s="19">
        <v>0.0</v>
      </c>
      <c r="M24" s="19">
        <v>0.0</v>
      </c>
      <c r="N24" s="19">
        <v>262.6</v>
      </c>
    </row>
    <row r="25">
      <c r="A25" s="17" t="s">
        <v>22</v>
      </c>
      <c r="B25" s="19">
        <v>0.0</v>
      </c>
      <c r="C25" s="19">
        <v>0.0</v>
      </c>
      <c r="D25" s="19">
        <v>8.49</v>
      </c>
      <c r="E25" s="19">
        <v>8.49</v>
      </c>
      <c r="F25" s="19">
        <v>8.49</v>
      </c>
      <c r="G25" s="19">
        <v>8.49</v>
      </c>
      <c r="H25" s="19">
        <v>8.49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42.45</v>
      </c>
    </row>
    <row r="26">
      <c r="A26" s="17" t="s">
        <v>23</v>
      </c>
      <c r="B26" s="19">
        <v>5.95</v>
      </c>
      <c r="C26" s="19">
        <v>6.01</v>
      </c>
      <c r="D26" s="19">
        <v>5.95</v>
      </c>
      <c r="E26" s="19">
        <v>6.13</v>
      </c>
      <c r="F26" s="19">
        <v>5.95</v>
      </c>
      <c r="G26" s="19">
        <v>5.95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35.94</v>
      </c>
    </row>
    <row r="27">
      <c r="A27" s="20" t="s">
        <v>24</v>
      </c>
      <c r="B27" s="21">
        <v>0.0</v>
      </c>
      <c r="C27" s="21">
        <v>0.0</v>
      </c>
      <c r="D27" s="21">
        <v>0.0</v>
      </c>
      <c r="E27" s="21">
        <v>0.0</v>
      </c>
      <c r="F27" s="21">
        <v>0.0</v>
      </c>
      <c r="G27" s="21">
        <v>0.0</v>
      </c>
      <c r="H27" s="21">
        <v>20.62</v>
      </c>
      <c r="I27" s="21">
        <v>0.0</v>
      </c>
      <c r="J27" s="21">
        <v>0.0</v>
      </c>
      <c r="K27" s="21">
        <v>0.0</v>
      </c>
      <c r="L27" s="21">
        <v>0.0</v>
      </c>
      <c r="M27" s="21">
        <v>0.0</v>
      </c>
      <c r="N27" s="22">
        <v>20.62</v>
      </c>
    </row>
    <row r="30">
      <c r="A30" s="23" t="s">
        <v>25</v>
      </c>
      <c r="B30" s="24">
        <f t="shared" ref="B30:N30" si="4">SUM(B18:B27)</f>
        <v>3546.83</v>
      </c>
      <c r="C30" s="24">
        <f t="shared" si="4"/>
        <v>4063.49</v>
      </c>
      <c r="D30" s="24">
        <f t="shared" si="4"/>
        <v>3393.08</v>
      </c>
      <c r="E30" s="24">
        <f t="shared" si="4"/>
        <v>3904.2</v>
      </c>
      <c r="F30" s="24">
        <f t="shared" si="4"/>
        <v>3208.72</v>
      </c>
      <c r="G30" s="24">
        <f t="shared" si="4"/>
        <v>3024.7</v>
      </c>
      <c r="H30" s="25">
        <f t="shared" si="4"/>
        <v>1128.84</v>
      </c>
      <c r="I30" s="25">
        <f t="shared" si="4"/>
        <v>0</v>
      </c>
      <c r="J30" s="25">
        <f t="shared" si="4"/>
        <v>0</v>
      </c>
      <c r="K30" s="25">
        <f t="shared" si="4"/>
        <v>0</v>
      </c>
      <c r="L30" s="25">
        <f t="shared" si="4"/>
        <v>0</v>
      </c>
      <c r="M30" s="25">
        <f t="shared" si="4"/>
        <v>0</v>
      </c>
      <c r="N30" s="24">
        <f t="shared" si="4"/>
        <v>22269.86</v>
      </c>
    </row>
    <row r="31">
      <c r="A31" s="14" t="s">
        <v>26</v>
      </c>
      <c r="B31" s="15">
        <f t="shared" ref="B31:N31" si="5">B15-B30</f>
        <v>-1612.45</v>
      </c>
      <c r="C31" s="15">
        <f t="shared" si="5"/>
        <v>-1401.39</v>
      </c>
      <c r="D31" s="15">
        <f t="shared" si="5"/>
        <v>-540.92</v>
      </c>
      <c r="E31" s="15">
        <f t="shared" si="5"/>
        <v>-641.1</v>
      </c>
      <c r="F31" s="15">
        <f t="shared" si="5"/>
        <v>243.03</v>
      </c>
      <c r="G31" s="15">
        <f t="shared" si="5"/>
        <v>56.34</v>
      </c>
      <c r="H31" s="16">
        <f t="shared" si="5"/>
        <v>-948.84</v>
      </c>
      <c r="I31" s="16">
        <f t="shared" si="5"/>
        <v>0</v>
      </c>
      <c r="J31" s="16">
        <f t="shared" si="5"/>
        <v>0</v>
      </c>
      <c r="K31" s="16">
        <f t="shared" si="5"/>
        <v>0</v>
      </c>
      <c r="L31" s="16">
        <f t="shared" si="5"/>
        <v>0</v>
      </c>
      <c r="M31" s="16">
        <f t="shared" si="5"/>
        <v>0</v>
      </c>
      <c r="N31" s="15">
        <f t="shared" si="5"/>
        <v>-22269.86</v>
      </c>
    </row>
    <row r="33">
      <c r="A33" s="14" t="s">
        <v>27</v>
      </c>
      <c r="B33" s="15">
        <f t="shared" ref="B33:N33" si="6">B31</f>
        <v>-1612.45</v>
      </c>
      <c r="C33" s="15">
        <f t="shared" si="6"/>
        <v>-1401.39</v>
      </c>
      <c r="D33" s="15">
        <f t="shared" si="6"/>
        <v>-540.92</v>
      </c>
      <c r="E33" s="15">
        <f t="shared" si="6"/>
        <v>-641.1</v>
      </c>
      <c r="F33" s="15">
        <f t="shared" si="6"/>
        <v>243.03</v>
      </c>
      <c r="G33" s="15">
        <f t="shared" si="6"/>
        <v>56.34</v>
      </c>
      <c r="H33" s="16">
        <f t="shared" si="6"/>
        <v>-948.84</v>
      </c>
      <c r="I33" s="16">
        <f t="shared" si="6"/>
        <v>0</v>
      </c>
      <c r="J33" s="16">
        <f t="shared" si="6"/>
        <v>0</v>
      </c>
      <c r="K33" s="16">
        <f t="shared" si="6"/>
        <v>0</v>
      </c>
      <c r="L33" s="16">
        <f t="shared" si="6"/>
        <v>0</v>
      </c>
      <c r="M33" s="16">
        <f t="shared" si="6"/>
        <v>0</v>
      </c>
      <c r="N33" s="15">
        <f t="shared" si="6"/>
        <v>-22269.86</v>
      </c>
    </row>
    <row r="35">
      <c r="A35" s="14" t="s">
        <v>28</v>
      </c>
      <c r="B35" s="15">
        <f t="shared" ref="B35:N35" si="7">B33</f>
        <v>-1612.45</v>
      </c>
      <c r="C35" s="15">
        <f t="shared" si="7"/>
        <v>-1401.39</v>
      </c>
      <c r="D35" s="15">
        <f t="shared" si="7"/>
        <v>-540.92</v>
      </c>
      <c r="E35" s="15">
        <f t="shared" si="7"/>
        <v>-641.1</v>
      </c>
      <c r="F35" s="15">
        <f t="shared" si="7"/>
        <v>243.03</v>
      </c>
      <c r="G35" s="15">
        <f t="shared" si="7"/>
        <v>56.34</v>
      </c>
      <c r="H35" s="16">
        <f t="shared" si="7"/>
        <v>-948.84</v>
      </c>
      <c r="I35" s="16">
        <f t="shared" si="7"/>
        <v>0</v>
      </c>
      <c r="J35" s="16">
        <f t="shared" si="7"/>
        <v>0</v>
      </c>
      <c r="K35" s="16">
        <f t="shared" si="7"/>
        <v>0</v>
      </c>
      <c r="L35" s="16">
        <f t="shared" si="7"/>
        <v>0</v>
      </c>
      <c r="M35" s="16">
        <f t="shared" si="7"/>
        <v>0</v>
      </c>
      <c r="N35" s="15">
        <f t="shared" si="7"/>
        <v>-22269.86</v>
      </c>
    </row>
    <row r="37">
      <c r="A37" s="26" t="s">
        <v>29</v>
      </c>
      <c r="B37" s="27">
        <f>B15</f>
        <v>1934.38</v>
      </c>
      <c r="C37" s="27">
        <f t="shared" ref="C37:H37" si="8">B37+C15</f>
        <v>4596.48</v>
      </c>
      <c r="D37" s="27">
        <f t="shared" si="8"/>
        <v>7448.64</v>
      </c>
      <c r="E37" s="27">
        <f t="shared" si="8"/>
        <v>10711.74</v>
      </c>
      <c r="F37" s="27">
        <f t="shared" si="8"/>
        <v>14163.49</v>
      </c>
      <c r="G37" s="27">
        <f t="shared" si="8"/>
        <v>17244.53</v>
      </c>
      <c r="H37" s="27">
        <f t="shared" si="8"/>
        <v>17424.53</v>
      </c>
      <c r="I37" s="28"/>
      <c r="J37" s="28"/>
      <c r="K37" s="28"/>
      <c r="L37" s="28"/>
      <c r="M37" s="28"/>
      <c r="N37" s="28"/>
    </row>
    <row r="38">
      <c r="A38" s="29" t="s">
        <v>30</v>
      </c>
      <c r="B38" s="30">
        <f>B30</f>
        <v>3546.83</v>
      </c>
      <c r="C38" s="30">
        <f t="shared" ref="C38:H38" si="9">B38+C30</f>
        <v>7610.32</v>
      </c>
      <c r="D38" s="30">
        <f t="shared" si="9"/>
        <v>11003.4</v>
      </c>
      <c r="E38" s="30">
        <f t="shared" si="9"/>
        <v>14907.6</v>
      </c>
      <c r="F38" s="30">
        <f t="shared" si="9"/>
        <v>18116.32</v>
      </c>
      <c r="G38" s="30">
        <f t="shared" si="9"/>
        <v>21141.02</v>
      </c>
      <c r="H38" s="30">
        <f t="shared" si="9"/>
        <v>22269.86</v>
      </c>
      <c r="I38" s="31"/>
      <c r="J38" s="31"/>
      <c r="K38" s="31"/>
      <c r="L38" s="31"/>
      <c r="M38" s="31"/>
      <c r="N38" s="31"/>
    </row>
  </sheetData>
  <autoFilter ref="$A$17:$N$30">
    <sortState ref="A17:N30">
      <sortCondition descending="1" ref="N17:N30"/>
    </sortState>
  </autoFilter>
  <drawing r:id="rId1"/>
</worksheet>
</file>